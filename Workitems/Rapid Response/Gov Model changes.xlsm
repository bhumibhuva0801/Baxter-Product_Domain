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TS_GIT\Baxter-Product_Domain\Workitems\Rapid Response\"/>
    </mc:Choice>
  </mc:AlternateContent>
  <xr:revisionPtr revIDLastSave="0" documentId="13_ncr:1_{E8439AAE-FDA0-4190-A1CB-546FEF5D5580}" xr6:coauthVersionLast="47" xr6:coauthVersionMax="47" xr10:uidLastSave="{00000000-0000-0000-0000-000000000000}"/>
  <bookViews>
    <workbookView xWindow="-110" yWindow="-110" windowWidth="19420" windowHeight="10300" tabRatio="836" firstSheet="2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CONDITIONS'!$A$1:$P$2</definedName>
    <definedName name="_xlnm._FilterDatabase" localSheetId="5" hidden="1">'BUSINESS CONDITIONS LOCALE'!$A$1:$E$1</definedName>
    <definedName name="_xlnm._FilterDatabase" localSheetId="3" hidden="1">'BUSINESS RULES'!$A$1:$M$5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CONTEXTS!$A$1:$J$4</definedName>
    <definedName name="_xlnm._FilterDatabase" localSheetId="6" hidden="1">'GOVERNANCE MAPPING'!$A$1:$M$12</definedName>
    <definedName name="_xlnm._FilterDatabase" localSheetId="8" hidden="1">'SYSTEM MESSAGES'!$A$1:$H$1</definedName>
    <definedName name="_FilterDatabase_0" localSheetId="3">'BUSINESS RULES'!$A$1:$K$1</definedName>
    <definedName name="_FilterDatabase_0" localSheetId="9">'CONTENT CONFIG'!$A$1:$J$1</definedName>
    <definedName name="_FilterDatabase_0_0" localSheetId="3">'BUSINESS RULES'!$A$1:$K$1</definedName>
    <definedName name="_FilterDatabase_0_0" localSheetId="9">'CONTENT CONFIG'!$A$1:$J$1</definedName>
    <definedName name="_FilterDatabase_0_0_0" localSheetId="3">'BUSINESS RULES'!$A$1:$K$1</definedName>
    <definedName name="_FilterDatabase_0_0_0" localSheetId="9">'CONTENT CONFIG'!$A$1:$J$1</definedName>
    <definedName name="_FilterDatabase_0_0_0_0" localSheetId="3">'BUSINESS RULES'!$A$1:$K$1</definedName>
    <definedName name="_FilterDatabase_0_0_0_0" localSheetId="9">'CONTENT CONFIG'!$A$1:$J$1</definedName>
    <definedName name="_FilterDatabase_0_0_0_0_0" localSheetId="3">'BUSINESS RULES'!$A$1:$K$1</definedName>
    <definedName name="_FilterDatabase_0_0_0_0_0" localSheetId="9">'CONTENT CONFIG'!$A$1:$J$1</definedName>
    <definedName name="_FilterDatabase_0_0_0_0_0_0" localSheetId="3">'BUSINESS RULES'!$A$1:$K$1</definedName>
    <definedName name="_FilterDatabase_0_0_0_0_0_0" localSheetId="9">'CONTENT CONFIG'!$A$1:$J$1</definedName>
    <definedName name="_FilterDatabase_0_0_0_0_0_0_0" localSheetId="3">'BUSINESS RULES'!$A$1:$K$1</definedName>
    <definedName name="_FilterDatabase_0_0_0_0_0_0_0" localSheetId="9">'CONTENT CONFIG'!$A$1:$J$1</definedName>
    <definedName name="_FilterDatabase_0_0_0_0_0_0_0_0" localSheetId="3">'BUSINESS RULES'!$A$1:$K$1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CONDITIONS'!$A$1:$AI$72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RULES'!$A$1:$K$1</definedName>
    <definedName name="Z_F59B42B5_12A6_408C_8984_297F5E3274B0_.wvu.FilterData" localSheetId="4">'BUSINESS CONDITIONS'!$A$1:$AI$72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L1" authorId="0" shapeId="0" xr:uid="{859EE5C7-1DF0-47E0-9041-47CE59DB2E85}">
      <text>
        <r>
          <rPr>
            <b/>
            <sz val="9"/>
            <color indexed="81"/>
            <rFont val="Tahoma"/>
          </rPr>
          <t>Information:</t>
        </r>
        <r>
          <rPr>
            <sz val="9"/>
            <color indexed="81"/>
            <rFont val="Tahoma"/>
          </rPr>
          <t xml:space="preserve">
Only numeric or [DELETE] value is allowed</t>
        </r>
      </text>
    </comment>
  </commentList>
</comments>
</file>

<file path=xl/sharedStrings.xml><?xml version="1.0" encoding="utf-8"?>
<sst xmlns="http://schemas.openxmlformats.org/spreadsheetml/2006/main" count="388" uniqueCount="171">
  <si>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</si>
  <si>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</si>
  <si>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</si>
  <si>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</si>
  <si>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</si>
  <si>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</si>
  <si>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</si>
  <si>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</si>
  <si>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</si>
  <si>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</si>
  <si>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</si>
  <si>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</si>
  <si>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</si>
  <si>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</si>
  <si>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</si>
  <si>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</si>
  <si>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</si>
  <si>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</si>
  <si>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</si>
  <si>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</si>
  <si>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</si>
  <si>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</si>
  <si>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</si>
  <si>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</si>
  <si>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</si>
  <si>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</si>
  <si>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</si>
  <si>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</si>
  <si>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</si>
  <si>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</si>
  <si>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</si>
  <si>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</si>
  <si>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</si>
  <si>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</si>
  <si>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</si>
  <si>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</si>
  <si>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</si>
  <si>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</si>
  <si>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</si>
  <si>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</si>
  <si>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</si>
  <si>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</si>
  <si>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</si>
  <si>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</si>
  <si>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</si>
  <si>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</si>
  <si>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</si>
  <si>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</si>
  <si>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</si>
  <si>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</si>
  <si>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</si>
  <si>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</si>
  <si>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</si>
  <si>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</si>
  <si>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</si>
  <si>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</si>
  <si>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</si>
  <si>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</si>
  <si>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</si>
  <si>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</si>
  <si>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</si>
  <si>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</si>
  <si>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</si>
  <si>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</si>
  <si>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</si>
  <si>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</si>
  <si>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</si>
  <si>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</si>
  <si>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</si>
  <si>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</si>
  <si>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</si>
  <si>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</si>
  <si>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</si>
  <si>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</si>
  <si>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</si>
  <si>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</si>
  <si>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</si>
  <si>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</si>
  <si>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</si>
  <si>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</si>
  <si>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</si>
  <si>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</si>
  <si>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</si>
  <si>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</si>
  <si>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</si>
  <si>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</si>
  <si>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</si>
  <si>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</si>
  <si>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</si>
  <si>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</si>
  <si>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</si>
  <si>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</si>
  <si>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</si>
  <si>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</si>
  <si>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</si>
  <si>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</si>
  <si>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</si>
  <si>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</si>
  <si>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</si>
  <si>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</si>
  <si>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</si>
  <si>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</si>
  <si>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</si>
  <si>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</si>
  <si>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</si>
  <si>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</si>
  <si>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</si>
  <si>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</si>
  <si>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</si>
  <si>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</si>
  <si>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</si>
  <si>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</si>
  <si>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</si>
  <si>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</si>
  <si>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</si>
  <si>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</si>
  <si>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</si>
  <si>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</si>
  <si>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</si>
  <si>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BUSINESS CONDITION WEIGHTAGE</t>
  </si>
  <si>
    <t>rapidresponcetriggerhrc</t>
  </si>
  <si>
    <t>varone:=1;  varAPI:="";  varsequence:=GetAttributeValue["_DEFAULT","_DEFAULT","aiprequestsequence"];  varexportflag:= GetAttributeValue["_DEFAULT","_DEFAULT","exporttoflag"];  varrr:=GetAttributeValue["_DEFAULT","_DEFAULT","rapidresponseflag"];  id:=GetEntityId["ANDACROSS","urlreference","self:self","code:_DEFAULT:_DEFAULT:exact:pimidIntegration"];  uniqueidurl:= GetEntityAttributeValueById["_DEFAULT","_DEFAULT",id,"urlreference","value"];  SetEntityAttributeValue["_DEFAULT","_DEFAULT", GetEntityId[], GetEntityType[],"testkeyword", Concat["URL: ", uniqueidurl , "Id: " , id] ] AND  IIF[(varsequence&gt;999 OR  varsequence=999 or IsNullOrEmpty[varsequence]), SetVariable["varsequence",0] ,false] AND  IIF[varsequence&lt;999, SetVariable["varAPI", Concat["{\"params\": {\"query\": {\"id\":\"", GetEntityId[],"\",\"filters\": {\"typesCriterion\": [\"", GetEntityType[],"\"]}},\"fields\": {\"attributes\": [ \"_ALL\"],\"relationships\": [\"reachofhrc\",\"rpackofhrc\",\"rcaseofhrc\",\"rpalletofhrc\" ],\"aiprequestsequence\":", (varsequence+varone),"}}}",""]] ,false] AND  IIF[ varrr = true  AND IsNullOrEmpty[varexportflag] = false AND   varexportflag &lt;&gt; 1 AND , SetEntityAttributeValue["_DEFAULT","_DEFAULT", GetEntityId[], GetEntityType[],"aipresponse", GetRestAPIResponse[uniqueidurl,varAPI,"entity.data.attributes.aipacknowledgement.values[0].value","Authorization: Basic SU1QSU1KREU6UCFNQSFQSkRFIw==,Region: GLOBAL,Content-Type:application/json,user-agent:Chrome/87.0.4280.141,Transaction:PRODUCTINFO,Version:1.0,Source:RIVERSAND"]] AND  SetEntityAttributeValue["_DEFAULT","_DEFAULT", GetEntityId[], GetEntityType[],"aiprequestsequence", varsequence+varone] ,false]</t>
  </si>
  <si>
    <t>Rapid Response Trigger HRC</t>
  </si>
  <si>
    <t>updatehrcrapidresponseaprrovalforhrcOnUpdateEntity</t>
  </si>
  <si>
    <t>varmassupload:=GetAttributeValue["_DEFAULT","_DEFAULT","massuploadflag"]; IIF[ HaveAnyAttributesChanged["_DEFAULT","_DEFAULT","x2","opg2s" ,"plntlastasss"] AND varmassupload&lt;&gt;"Yes" AND  ValidateEmptyAttributes["_DEFAULT","_DEFAULT","x2","opg2s" ,"plntlastasss"]= false AND IsEntityInWorkflow["hrcrapidresponseaprroval"]=false,InvokeWorkflow["hrcrapidresponseaprroval"],false]</t>
  </si>
  <si>
    <t>Update hrcrapidresponseaprroval for hrc on UpdateEntity</t>
  </si>
  <si>
    <t>rapidresponceintegrationonmassupload</t>
  </si>
  <si>
    <t>Rapid Response Integration on Massupload</t>
  </si>
  <si>
    <t>validatetheattributesforrapidresponse</t>
  </si>
  <si>
    <t>varattributes:="x2||opg2s||plntlastasss||rapidresponseflag";  ITERATE[ varattributes, ' IIF[ ValidateEmptyAttributes["_DEFAULT","_DEFAULT",ITERATIONITEM], AddAttributeError["_DEFAULT","_DEFAULT","Req001","Required",ITERATIONITEM], AddAttributeInformation["_DEFAULT","_DEFAULT","SY001","",ITERATIONITEM] ] ' ]</t>
  </si>
  <si>
    <t>Validate and fill the attributes for Rapid Response</t>
  </si>
  <si>
    <t>getrestapiresponseforhrc</t>
  </si>
  <si>
    <t>Trigger AIP once JDE Status is set to 20</t>
  </si>
  <si>
    <t>checkwfsellablehrc</t>
  </si>
  <si>
    <t>Check wf sellable HRC</t>
  </si>
  <si>
    <t>assignmentnotificationrapidresponsewf</t>
  </si>
  <si>
    <t>status := GetAttributeValue["_DEFAULT","_DEFAULT","workflowstatus"];    refid:= "";    varusers:="";    assign:="";    subprefixid :=GetEntityId["ANDACROSS","urlreference","self:self","code:_DEFAULT:_DEFAULT:exact:subjectprefix"];    subprefix := GetEntityAttributeValueById["_DEFAULT","_DEFAULT",subprefixid,"urlreference","value"];    varsubject:=Concat[subprefix,"Rapid Response Arrival"];    varbody:=Concat["&lt;html&gt; &lt;body&gt; &lt;form&gt; Hi,&lt;BR&gt; &lt;BR&gt;Following HRC is waiting for Rapid Response Approval&lt;BR&gt;&lt;BR&gt; &lt;table border=",1,"&gt; &lt;tbody&gt; &lt;tr&gt; &lt;th&gt;&lt;center&gt;Created By&lt;/center&gt;&lt;/th&gt; &lt;th&gt; &lt;center&gt;Entity Type&lt;/center&gt;&lt;/th&gt; &lt;th&gt;&lt;center&gt;Item Code&lt;/center&gt;&lt;/th&gt; &lt;/tr&gt; &lt;tr&gt; &lt;td&gt;&lt;center&gt;", GetAttributeValueFromContext["_DEFAULT","_DEFAULT","createdby","self:self"],"&lt;/center&gt;&lt;/td&gt; &lt;td&gt;&lt;center&gt;", GetEntityType[],"&lt;/center&gt;&lt;/td&gt; &lt;td&gt;&lt;center&gt;", GetAttributeValueFromContext["_DEFAULT","_DEFAULT","longitmnr","self:self"],"&lt;/center&gt;&lt;/td&gt; &lt;/tr&gt; &lt;/tbody&gt; &lt;/table&gt; &lt;br&gt; Thanks. &lt;br&gt; &lt;/form&gt; &lt;/body&gt;&lt;/html&gt;"];      IIF[ IsEntityInWorkflow["hrcrapidresponseaprroval","approvalforrr"] , SetVariable["refid", GetEntityId["ANDACROSS","userassignmentandnotification","self:self","refstepname:_DEFAULT:_DEFAULT:exact:approvalforrr","refworkflowname:_DEFAULT:_DEFAULT:exact:hrcrapidresponseaprroval"]] ,false] AND      IIF[ IsNullOrEmpty[refid] = false , SetVariable["varusers", GetEntityAttributeValueById["_DEFAULT","_DEFAULT",refid,"userassignmentandnotification","refnotifiedtouser"]] , false] AND    IIF[ IsNullOrEmpty[refid] = false , SetVariable["assign", GetEntityAttributeValueById["_DEFAULT","_DEFAULT",refid,"userassignmentandnotification","refassigntouser"]] , false] AND    IIF[IsEntityInWorkflow["hrcrapidresponseaprroval","approvalforrr"] AND    IsNullOrEmpty[varusers] = false, SendEmail[varusers, "", varsubject, "", varbody, ""] ,false ] AND    IIF[ IsNullOrEmpty[assign] = false AND    IsEntityInWorkflow["hrcrapidresponseaprroval","approvalforrr"] , ChangeAssignment["hrcrapidresponseaprroval","approvalforrr",assign] ,false]</t>
  </si>
  <si>
    <t>Assignment and Notification for Rapid Response workflow</t>
  </si>
  <si>
    <t>validatetheattributesforrapidresponseBC</t>
  </si>
  <si>
    <t>hrcmdm||systemadmin||mdmadmin||admin</t>
  </si>
  <si>
    <t>x2||opg2s||plntlastasss||rapidresponseflag</t>
  </si>
  <si>
    <t>Validate and Fill the Attributes for Rapid Response</t>
  </si>
  <si>
    <t>create||update</t>
  </si>
  <si>
    <t>hrc</t>
  </si>
  <si>
    <t>checkwfsellablehrcContext</t>
  </si>
  <si>
    <t>getrestapiresponseforhrcContext</t>
  </si>
  <si>
    <t>checkwfsellablehrc1Context</t>
  </si>
  <si>
    <t>getrestapiresponseforhrc1Context</t>
  </si>
  <si>
    <t>assignmentnotificationrapidresponsewfContext</t>
  </si>
  <si>
    <t>rapidresponcetriggerhrcContext</t>
  </si>
  <si>
    <t>validatetheattributesforrapidresponseBCContext</t>
  </si>
  <si>
    <t>Done</t>
  </si>
  <si>
    <t>self || self</t>
  </si>
  <si>
    <t>activityEntry</t>
  </si>
  <si>
    <t>activityExit</t>
  </si>
  <si>
    <t>Approve</t>
  </si>
  <si>
    <t>exitCriteria</t>
  </si>
  <si>
    <t>workflow || wfhrccreation</t>
  </si>
  <si>
    <t>populaterequiredattributes</t>
  </si>
  <si>
    <t>globalmarketingapproval</t>
  </si>
  <si>
    <t>workflow || wfhrcmaintanance</t>
  </si>
  <si>
    <t>workflow || hrcrapidresponseaprroval</t>
  </si>
  <si>
    <t>approvalforrr</t>
  </si>
  <si>
    <t>autopopulateexporttorrflag</t>
  </si>
  <si>
    <t>Populate Export to RR flag</t>
  </si>
  <si>
    <t>varone:=1; varAPI:=""; varsequence:=GetAttributeValue["_DEFAULT","_DEFAULT","aiprequestsequence"]; varrr:=GetAttributeValue["_DEFAULT","_DEFAULT","rapidresponseflag"]; varmassupload:=GetAttributeValue["_DEFAULT","_DEFAULT","massuploadflag"]; varrrexport:=GetAttributeValue["_DEFAULT","_DEFAULT","exporttorrflag"]; id:=GetEntityId["ANDACROSS","urlreference","self:self","code:_DEFAULT:_DEFAULT:exact:pimidIntegration"]; uniqueidurl:= GetEntityAttributeValueById["_DEFAULT","_DEFAULT",id,"urlreference","value"]; IIF[(varsequence&gt;999 OR varsequence=999 or IsNullOrEmpty[varsequence]), SetVariable["varsequence",0] ,false] AND IIF[varsequence&lt;999, SetVariable["varAPI", Concat["{\"params\": {\"query\": {\"id\":\"", GetEntityId[],"\",\"filters\": {\"typesCriterion\": [\"", GetEntityType[],"\"]}},\"fields\": {\"attributes\": [ \"_ALL\"],\"relationships\": [\"reachofhrc\",\"rpackofhrc\",\"rcaseofhrc\",\"rpalletofhrc\" ],\"aiprequestsequence\":", (varsequence+varone),"}}}",""]] ,false] AND IIF[varrr = true  AND varrrexport = 1 AND ValidateEmptyAttributes["_DEFAULT","_DEFAULT","x2","opg2s" ,"plntlastasss"]= false, SetEntityAttributeValue["_DEFAULT","_DEFAULT", GetEntityId[], GetEntityType[],"aipresponse", GetRestAPIResponse["https://a2a-dev-globalaip.baxter.com/AIP/RESTInB",varAPI,"entity.data.attributes.aipacknowledgement.values[0].value","Authorization: Basic SU1QSU1KREU6UCFNQSFQSkRFIw==,Region: GLOBAL,Content-Type:application/json,user-agent:Chrome/87.0.4280.141,Transaction:PRODUCTINFO,Version:1.0,Source:RIVERSAND"]] AND SetEntityAttributeValue["_DEFAULT","_DEFAULT", GetEntityId[], GetEntityType[],"aiprequestsequence", varsequence+varone] ,false]</t>
  </si>
  <si>
    <t>plntlastasss||opg2s||x2||exporttorrflag</t>
  </si>
  <si>
    <t>varrrflag := GetAttributeValue["_DEFAULT","_DEFAULT","rapidresponseflag"]; IIF[  varrrflag = "true"  ,  SetAttributeValue["_DEFAULT","_DEFAULT","exporttorrflag",1]    , false] AND  IIF[  varrrflag = "false"  ,  SetAttributeValue["_DEFAULT","_DEFAULT","exporttorrflag",3]    , false]</t>
  </si>
  <si>
    <t>rapidresponseflag</t>
  </si>
  <si>
    <t>wfctrltrans := GetAttributeValue["_DEFAULT","_DEFAULT","wfctrlsellable"];IIF[ wfctrltrans = "Y" , SetEntityAttributeValue["_DEFAULT","_DEFAULT",GetEntityId[],GetEntityType[],"itstktyp","20"] AND SetEntityAttributeValue["_DEFAULT","_DEFAULT",GetEntityId[],GetEntityType[],"exporttojdeflag",1] ,false]</t>
  </si>
  <si>
    <t>varone:=1; varAPI:=""; varsequence:=GetAttributeValue["_DEFAULT","_DEFAULT","aiprequestsequence"]; varworkflowstatus:=GetAttributeValue["_DEFAULT","_DEFAULT","workflowstatus"]; varwfsellable:=GetAttributeValue["_DEFAULT","_DEFAULT","wfctrlsellable"]; varjdeexport:=GetAttributeValue["_DEFAULT","_DEFAULT","exporttojdeflag"]; varhrcsrcmaterialstatus:=GetAttributeValue["_DEFAULT","_DEFAULT","hrcsrcmaterialstatus"]; IIF[(varsequence&gt;999 OR varsequence=999 or IsNullOrEmpty[varsequence]), SetVariable["varsequence","0"] ,false] AND IIF[varsequence&lt;999, SetVariable["varAPI", Concat["{\"params\": {\"query\": {\"id\":\"", GetEntityId[],"\",\"filters\": {\"typesCriterion\": [\"", GetEntityType[],"\"]}},\"fields\": {\"attributes\": [ \"_ALL\"],\"relationships\": [\"reachofhrc\",\"rpackofhrc\",\"rcaseofhrc\",\"rpalletofhrc\" ],\"aiprequestsequence\":", (varsequence+varone),"}}}",""]] ,false] AND IIF[varwfsellable="Y" AND varjdeexport = 1 , SetEntityAttributeValue["_DEFAULT","_DEFAULT", GetEntityId[], GetEntityType[],"aipresponse", GetRestAPIResponse["https://a2a-dev-globalaip.baxter.com/AIP/RESTInB",varAPI,"entity.data.attributes.aipacknowledgement.values[0].value","Authorization: Basic SU1QSU1KREU6UCFNQSFQSkRFIw==,Region: GLOBAL,Content-Type:application/json,user-agent:Chrome/87.0.4280.141,Transaction:PRODUCTINFO,Version:1.0,Source:RIVERSAND"]] AND SetEntityAttributeValue["_DEFAULT","_DEFAULT", GetEntityId[], GetEntityType[],"aiprequestsequence", varsequence+varone],false]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</si>
</sst>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9"/>
      <color indexed="81"/>
      <name val="Tahoma"/>
    </font>
    <font>
      <b/>
      <sz val="9"/>
      <color indexed="81"/>
      <name val="Tahoma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1" fontId="0" fillId="4" borderId="0" xfId="0" applyNumberFormat="1" applyFill="1"/>
    <xf numFmtId="1" fontId="0" fillId="0" borderId="0" xfId="0" applyNumberFormat="1"/>
    <xf numFmtId="0" fontId="0" fillId="6" borderId="0" xfId="0" applyFill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99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100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101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102</v>
      </c>
    </row>
    <row r="5" spans="1:10">
      <c r="E5" s="1" t="s">
        <v>30</v>
      </c>
      <c r="F5" t="s">
        <v>31</v>
      </c>
      <c r="H5" t="s">
        <v>25</v>
      </c>
      <c r="J5" t="s">
        <v>103</v>
      </c>
    </row>
    <row r="6" spans="1:10">
      <c r="J6" t="s">
        <v>104</v>
      </c>
    </row>
    <row r="7" spans="1:10">
      <c r="J7" t="s">
        <v>105</v>
      </c>
    </row>
    <row r="8" spans="1:10">
      <c r="J8" t="s">
        <v>106</v>
      </c>
    </row>
    <row r="9" spans="1:10">
      <c r="J9" t="s">
        <v>107</v>
      </c>
    </row>
    <row r="10" spans="1:10">
      <c r="J10" t="s">
        <v>108</v>
      </c>
    </row>
    <row r="11" spans="1:10">
      <c r="J11" t="s">
        <v>109</v>
      </c>
    </row>
    <row r="12" spans="1:10">
      <c r="J12" t="s">
        <v>110</v>
      </c>
    </row>
    <row r="13" spans="1:10">
      <c r="J13" t="s">
        <v>111</v>
      </c>
    </row>
    <row r="14" spans="1:10">
      <c r="J14" t="s">
        <v>112</v>
      </c>
    </row>
    <row r="15" spans="1:10">
      <c r="J15" t="s">
        <v>113</v>
      </c>
    </row>
    <row r="16" spans="1:10">
      <c r="J16" t="s">
        <v>114</v>
      </c>
    </row>
    <row r="17" spans="10:10">
      <c r="J17" t="s">
        <v>115</v>
      </c>
    </row>
    <row r="18" spans="10:10">
      <c r="J18" t="s">
        <v>116</v>
      </c>
    </row>
    <row r="19" spans="10:10">
      <c r="J19" t="s">
        <v>117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D15" sqref="D15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118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9"/>
  <sheetViews>
    <sheetView zoomScaleNormal="100" workbookViewId="0">
      <pane ySplit="1" topLeftCell="A5" activePane="bottomLeft" state="frozen"/>
      <selection pane="bottomLeft" activeCell="B7" sqref="B7"/>
    </sheetView>
  </sheetViews>
  <sheetFormatPr defaultColWidth="8.83203125" defaultRowHeight="21.75" customHeight="1"/>
  <cols>
    <col min="1" max="1" width="10.08203125" customWidth="1"/>
    <col min="2" max="2" width="44.33203125" customWidth="1"/>
    <col min="3" max="3" width="21.08203125" customWidth="1"/>
    <col min="4" max="4" width="18.25" customWidth="1"/>
    <col min="5" max="5" width="17.58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8.75" hidden="1" customWidth="1"/>
    <col min="13" max="13" width="16.33203125" customWidth="1"/>
  </cols>
  <sheetData>
    <row r="1" spans="1:13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</row>
    <row r="2" spans="1:13" ht="15.5">
      <c r="A2" t="s">
        <v>14</v>
      </c>
      <c r="B2" s="28" t="s">
        <v>120</v>
      </c>
      <c r="C2" t="s">
        <v>30</v>
      </c>
      <c r="D2" t="s">
        <v>11</v>
      </c>
      <c r="E2" t="s">
        <v>18</v>
      </c>
      <c r="F2" t="s">
        <v>17</v>
      </c>
      <c r="G2" t="s">
        <v>121</v>
      </c>
      <c r="H2" t="s">
        <v>122</v>
      </c>
      <c r="K2" t="s">
        <v>18</v>
      </c>
    </row>
    <row r="3" spans="1:13" ht="15.5">
      <c r="A3" t="s">
        <v>14</v>
      </c>
      <c r="B3" s="28" t="s">
        <v>123</v>
      </c>
      <c r="C3" t="s">
        <v>30</v>
      </c>
      <c r="D3" t="s">
        <v>11</v>
      </c>
      <c r="E3" t="s">
        <v>18</v>
      </c>
      <c r="F3" t="s">
        <v>17</v>
      </c>
      <c r="G3" t="s">
        <v>124</v>
      </c>
      <c r="H3" t="s">
        <v>125</v>
      </c>
      <c r="K3" t="s">
        <v>18</v>
      </c>
      <c r="M3" t="s">
        <v>125</v>
      </c>
    </row>
    <row r="4" spans="1:13" ht="15.5">
      <c r="A4" t="s">
        <v>14</v>
      </c>
      <c r="B4" s="28" t="s">
        <v>128</v>
      </c>
      <c r="C4" t="s">
        <v>20</v>
      </c>
      <c r="D4" t="s">
        <v>11</v>
      </c>
      <c r="E4" t="s">
        <v>10</v>
      </c>
      <c r="F4" t="s">
        <v>17</v>
      </c>
      <c r="G4" t="s">
        <v>129</v>
      </c>
      <c r="H4" t="s">
        <v>130</v>
      </c>
      <c r="K4" t="s">
        <v>18</v>
      </c>
    </row>
    <row r="5" spans="1:13" ht="15.5">
      <c r="A5" t="s">
        <v>14</v>
      </c>
      <c r="B5" s="28" t="s">
        <v>135</v>
      </c>
      <c r="C5" t="s">
        <v>30</v>
      </c>
      <c r="D5" t="s">
        <v>11</v>
      </c>
      <c r="E5" t="s">
        <v>18</v>
      </c>
      <c r="F5" t="s">
        <v>17</v>
      </c>
      <c r="G5" t="s">
        <v>136</v>
      </c>
      <c r="H5" t="s">
        <v>137</v>
      </c>
      <c r="K5" t="s">
        <v>18</v>
      </c>
      <c r="M5" t="s">
        <v>137</v>
      </c>
    </row>
    <row r="6" spans="1:13" ht="21.75" customHeight="1">
      <c r="B6" t="s">
        <v>126</v>
      </c>
      <c r="C6" t="s">
        <v>30</v>
      </c>
      <c r="D6" t="s">
        <v>11</v>
      </c>
      <c r="E6" t="s">
        <v>10</v>
      </c>
      <c r="F6" t="s">
        <v>17</v>
      </c>
      <c r="G6" t="s">
        <v>165</v>
      </c>
      <c r="H6" t="s">
        <v>127</v>
      </c>
      <c r="I6" t="s">
        <v>166</v>
      </c>
      <c r="K6" t="s">
        <v>18</v>
      </c>
    </row>
    <row r="7" spans="1:13" ht="21.75" customHeight="1">
      <c r="B7" t="s">
        <v>163</v>
      </c>
      <c r="C7" t="s">
        <v>12</v>
      </c>
      <c r="D7" t="s">
        <v>11</v>
      </c>
      <c r="E7" t="s">
        <v>10</v>
      </c>
      <c r="F7" t="s">
        <v>17</v>
      </c>
      <c r="G7" t="s">
        <v>167</v>
      </c>
      <c r="H7" t="s">
        <v>164</v>
      </c>
      <c r="I7" t="s">
        <v>168</v>
      </c>
      <c r="K7" t="s">
        <v>18</v>
      </c>
    </row>
    <row r="8" spans="1:13" ht="21.75" customHeight="1">
      <c r="B8" t="s">
        <v>133</v>
      </c>
      <c r="C8" t="s">
        <v>30</v>
      </c>
      <c r="D8" t="s">
        <v>11</v>
      </c>
      <c r="E8" t="s">
        <v>10</v>
      </c>
      <c r="F8" t="s">
        <v>17</v>
      </c>
      <c r="G8" t="s">
        <v>169</v>
      </c>
      <c r="H8" t="s">
        <v>134</v>
      </c>
      <c r="K8" t="s">
        <v>18</v>
      </c>
    </row>
    <row r="9" spans="1:13" ht="21.75" customHeight="1">
      <c r="B9" t="s">
        <v>131</v>
      </c>
      <c r="C9" t="s">
        <v>30</v>
      </c>
      <c r="D9" t="s">
        <v>11</v>
      </c>
      <c r="E9" t="s">
        <v>10</v>
      </c>
      <c r="F9" t="s">
        <v>17</v>
      </c>
      <c r="G9" t="s">
        <v>170</v>
      </c>
      <c r="H9" t="s">
        <v>132</v>
      </c>
      <c r="K9" t="s">
        <v>18</v>
      </c>
    </row>
  </sheetData>
  <autoFilter ref="A1:M5" xr:uid="{00000000-0001-0000-0300-000000000000}">
    <sortState xmlns:xlrd2="http://schemas.microsoft.com/office/spreadsheetml/2017/richdata2" ref="A2:M5">
      <sortCondition ref="A1:A5"/>
    </sortState>
  </autoFilter>
  <conditionalFormatting sqref="B10:B1048576 B1:B5">
    <cfRule type="duplicateValues" dxfId="4" priority="2"/>
  </conditionalFormatting>
  <conditionalFormatting sqref="B6:B9">
    <cfRule type="duplicateValues" dxfId="3" priority="4"/>
  </conditionalFormatting>
  <dataValidations count="1">
    <dataValidation type="list" allowBlank="1" showInputMessage="1" showErrorMessage="1" sqref="K2:K5 E2:E5 E6:E7 K6:K7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A2:A5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F2:F5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C2:C5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2"/>
  <sheetViews>
    <sheetView zoomScaleNormal="100" workbookViewId="0">
      <pane ySplit="1" topLeftCell="A2" activePane="bottomLeft" state="frozen"/>
      <selection activeCell="L1" sqref="L1"/>
      <selection pane="bottomLeft" activeCell="B7" sqref="B7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69</v>
      </c>
      <c r="G1" s="12" t="s">
        <v>70</v>
      </c>
      <c r="H1" s="20" t="s">
        <v>71</v>
      </c>
      <c r="I1" s="12" t="s">
        <v>72</v>
      </c>
      <c r="J1" s="21" t="s">
        <v>73</v>
      </c>
      <c r="K1" s="21" t="s">
        <v>74</v>
      </c>
      <c r="L1" s="21" t="s">
        <v>75</v>
      </c>
      <c r="M1" s="22" t="s">
        <v>63</v>
      </c>
      <c r="N1" s="22" t="s">
        <v>8</v>
      </c>
      <c r="O1" s="22" t="s">
        <v>68</v>
      </c>
      <c r="P1" s="22" t="s">
        <v>66</v>
      </c>
    </row>
    <row r="2" spans="1:16" ht="15.5">
      <c r="A2" t="s">
        <v>14</v>
      </c>
      <c r="B2" s="28" t="s">
        <v>138</v>
      </c>
      <c r="C2" t="s">
        <v>11</v>
      </c>
      <c r="D2" t="s">
        <v>10</v>
      </c>
      <c r="E2" t="s">
        <v>17</v>
      </c>
      <c r="F2" t="s">
        <v>128</v>
      </c>
      <c r="G2" t="s">
        <v>139</v>
      </c>
      <c r="H2" t="s">
        <v>140</v>
      </c>
      <c r="M2" t="s">
        <v>141</v>
      </c>
      <c r="N2" t="s">
        <v>23</v>
      </c>
      <c r="P2" t="s">
        <v>18</v>
      </c>
    </row>
  </sheetData>
  <dataValidations count="1">
    <dataValidation type="list" allowBlank="1" showInputMessage="1" showErrorMessage="1" sqref="P2:P726 D2:D726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C2:C726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E2:E726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A2:A726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K2:K726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L2:L726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90</v>
      </c>
      <c r="D1" s="22" t="s">
        <v>63</v>
      </c>
      <c r="E1" s="22" t="s">
        <v>68</v>
      </c>
    </row>
  </sheetData>
  <autoFilter ref="A1:E1" xr:uid="{00000000-0009-0000-0000-000004000000}"/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12"/>
  <sheetViews>
    <sheetView tabSelected="1" topLeftCell="G1" zoomScaleNormal="100" workbookViewId="0">
      <pane ySplit="1" topLeftCell="A2" activePane="bottomLeft" state="frozen"/>
      <selection pane="bottomLeft" activeCell="H12" sqref="H12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82031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32" style="27" bestFit="1" customWidth="1"/>
    <col min="13" max="13" width="11.83203125" customWidth="1"/>
  </cols>
  <sheetData>
    <row r="1" spans="1:13" ht="21.75" customHeight="1">
      <c r="A1" s="2" t="s">
        <v>6</v>
      </c>
      <c r="B1" s="16" t="s">
        <v>76</v>
      </c>
      <c r="C1" s="17" t="s">
        <v>60</v>
      </c>
      <c r="D1" s="17" t="s">
        <v>61</v>
      </c>
      <c r="E1" s="17" t="s">
        <v>0</v>
      </c>
      <c r="F1" s="17" t="s">
        <v>77</v>
      </c>
      <c r="G1" s="17" t="s">
        <v>78</v>
      </c>
      <c r="H1" s="23" t="s">
        <v>79</v>
      </c>
      <c r="I1" s="17" t="s">
        <v>80</v>
      </c>
      <c r="J1" s="17" t="s">
        <v>81</v>
      </c>
      <c r="K1" s="17" t="s">
        <v>82</v>
      </c>
      <c r="L1" s="26" t="s">
        <v>119</v>
      </c>
      <c r="M1" s="22" t="s">
        <v>68</v>
      </c>
    </row>
    <row r="2" spans="1:13" ht="15.5">
      <c r="A2" t="s">
        <v>14</v>
      </c>
      <c r="B2" s="28" t="s">
        <v>143</v>
      </c>
      <c r="C2" t="s">
        <v>11</v>
      </c>
      <c r="D2" t="s">
        <v>10</v>
      </c>
      <c r="E2" t="s">
        <v>17</v>
      </c>
      <c r="G2" t="s">
        <v>138</v>
      </c>
      <c r="H2" t="s">
        <v>142</v>
      </c>
      <c r="J2">
        <v>45</v>
      </c>
      <c r="K2" t="s">
        <v>10</v>
      </c>
    </row>
    <row r="3" spans="1:13" ht="15.5">
      <c r="A3" t="s">
        <v>14</v>
      </c>
      <c r="B3" s="28" t="s">
        <v>143</v>
      </c>
      <c r="C3" t="s">
        <v>11</v>
      </c>
      <c r="D3" t="s">
        <v>10</v>
      </c>
      <c r="E3" t="s">
        <v>17</v>
      </c>
      <c r="G3" t="s">
        <v>138</v>
      </c>
      <c r="H3" t="s">
        <v>142</v>
      </c>
      <c r="I3" t="s">
        <v>150</v>
      </c>
      <c r="J3">
        <v>45</v>
      </c>
      <c r="K3" t="s">
        <v>10</v>
      </c>
    </row>
    <row r="4" spans="1:13" ht="15.5">
      <c r="A4" t="s">
        <v>14</v>
      </c>
      <c r="B4" s="28" t="s">
        <v>143</v>
      </c>
      <c r="C4" t="s">
        <v>11</v>
      </c>
      <c r="D4" t="s">
        <v>10</v>
      </c>
      <c r="E4" t="s">
        <v>17</v>
      </c>
      <c r="F4" t="s">
        <v>123</v>
      </c>
      <c r="H4" t="s">
        <v>21</v>
      </c>
      <c r="J4">
        <v>1</v>
      </c>
      <c r="K4" t="s">
        <v>10</v>
      </c>
    </row>
    <row r="5" spans="1:13" ht="15.5">
      <c r="A5" t="s">
        <v>14</v>
      </c>
      <c r="B5" s="28" t="s">
        <v>143</v>
      </c>
      <c r="C5" t="s">
        <v>11</v>
      </c>
      <c r="D5" t="s">
        <v>10</v>
      </c>
      <c r="E5" t="s">
        <v>17</v>
      </c>
      <c r="F5" t="s">
        <v>135</v>
      </c>
      <c r="I5" t="s">
        <v>148</v>
      </c>
      <c r="J5">
        <v>30</v>
      </c>
      <c r="K5" t="s">
        <v>10</v>
      </c>
    </row>
    <row r="6" spans="1:13" ht="15.5">
      <c r="A6" t="s">
        <v>14</v>
      </c>
      <c r="B6" s="28" t="s">
        <v>143</v>
      </c>
      <c r="C6" t="s">
        <v>11</v>
      </c>
      <c r="D6" t="s">
        <v>10</v>
      </c>
      <c r="E6" t="s">
        <v>17</v>
      </c>
      <c r="F6" t="s">
        <v>120</v>
      </c>
      <c r="I6" t="s">
        <v>149</v>
      </c>
      <c r="J6">
        <v>89</v>
      </c>
      <c r="K6" t="s">
        <v>10</v>
      </c>
    </row>
    <row r="7" spans="1:13" ht="15.5">
      <c r="B7" s="28" t="s">
        <v>143</v>
      </c>
      <c r="C7" t="s">
        <v>11</v>
      </c>
      <c r="D7" t="s">
        <v>10</v>
      </c>
      <c r="E7" t="s">
        <v>17</v>
      </c>
      <c r="F7" t="s">
        <v>126</v>
      </c>
      <c r="H7" t="s">
        <v>142</v>
      </c>
      <c r="J7">
        <v>89</v>
      </c>
      <c r="K7" t="s">
        <v>10</v>
      </c>
    </row>
    <row r="8" spans="1:13" ht="15.5">
      <c r="B8" s="28" t="s">
        <v>143</v>
      </c>
      <c r="C8" t="s">
        <v>11</v>
      </c>
      <c r="D8" t="s">
        <v>10</v>
      </c>
      <c r="E8" t="s">
        <v>17</v>
      </c>
      <c r="F8" t="s">
        <v>133</v>
      </c>
      <c r="I8" t="s">
        <v>144</v>
      </c>
      <c r="J8">
        <v>15</v>
      </c>
      <c r="K8" t="s">
        <v>10</v>
      </c>
    </row>
    <row r="9" spans="1:13" ht="15.5">
      <c r="B9" s="28" t="s">
        <v>143</v>
      </c>
      <c r="C9" t="s">
        <v>11</v>
      </c>
      <c r="D9" t="s">
        <v>10</v>
      </c>
      <c r="E9" t="s">
        <v>17</v>
      </c>
      <c r="F9" t="s">
        <v>131</v>
      </c>
      <c r="I9" t="s">
        <v>145</v>
      </c>
      <c r="J9">
        <v>17</v>
      </c>
      <c r="K9" t="s">
        <v>10</v>
      </c>
    </row>
    <row r="10" spans="1:13" ht="15.5">
      <c r="B10" s="28" t="s">
        <v>143</v>
      </c>
      <c r="C10" t="s">
        <v>11</v>
      </c>
      <c r="D10" t="s">
        <v>10</v>
      </c>
      <c r="E10" t="s">
        <v>17</v>
      </c>
      <c r="F10" t="s">
        <v>133</v>
      </c>
      <c r="I10" t="s">
        <v>146</v>
      </c>
      <c r="J10">
        <v>63</v>
      </c>
      <c r="K10" t="s">
        <v>10</v>
      </c>
    </row>
    <row r="11" spans="1:13" ht="15.5">
      <c r="B11" s="28" t="s">
        <v>143</v>
      </c>
      <c r="C11" t="s">
        <v>11</v>
      </c>
      <c r="D11" t="s">
        <v>10</v>
      </c>
      <c r="E11" t="s">
        <v>17</v>
      </c>
      <c r="F11" t="s">
        <v>131</v>
      </c>
      <c r="I11" t="s">
        <v>147</v>
      </c>
      <c r="J11">
        <v>17</v>
      </c>
      <c r="K11" t="s">
        <v>10</v>
      </c>
    </row>
    <row r="12" spans="1:13" ht="21.75" customHeight="1">
      <c r="B12" s="28" t="s">
        <v>143</v>
      </c>
      <c r="C12" t="s">
        <v>11</v>
      </c>
      <c r="D12" t="s">
        <v>10</v>
      </c>
      <c r="E12" t="s">
        <v>17</v>
      </c>
      <c r="F12" s="28" t="s">
        <v>163</v>
      </c>
      <c r="H12" t="s">
        <v>142</v>
      </c>
      <c r="J12">
        <v>64</v>
      </c>
      <c r="K12" t="s">
        <v>10</v>
      </c>
    </row>
  </sheetData>
  <conditionalFormatting sqref="I1:I1048576">
    <cfRule type="duplicateValues" dxfId="2" priority="2"/>
  </conditionalFormatting>
  <conditionalFormatting sqref="F12">
    <cfRule type="duplicateValues" dxfId="1" priority="8"/>
  </conditionalFormatting>
  <pageMargins left="0.7" right="0.7" top="0.75" bottom="0.75" header="0.51180555555555496" footer="0.51180555555555496"/>
  <pageSetup paperSize="9"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7EEAA6-3A52-475D-9075-ECF0E2812FD5}">
          <x14:formula1>
            <xm:f>'REF DATA'!$G$2</xm:f>
          </x14:formula1>
          <x14:formula2>
            <xm:f>0</xm:f>
          </x14:formula2>
          <xm:sqref>A2:A5 A10:A11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8"/>
  <sheetViews>
    <sheetView zoomScaleNormal="100" workbookViewId="0">
      <selection activeCell="B9" sqref="B9"/>
    </sheetView>
  </sheetViews>
  <sheetFormatPr defaultColWidth="9.25" defaultRowHeight="21.75" customHeight="1"/>
  <cols>
    <col min="1" max="1" width="12.7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83</v>
      </c>
      <c r="D1" s="23" t="s">
        <v>83</v>
      </c>
      <c r="E1" s="23" t="s">
        <v>83</v>
      </c>
      <c r="F1" s="23" t="s">
        <v>84</v>
      </c>
      <c r="G1" s="23" t="s">
        <v>85</v>
      </c>
      <c r="H1" s="23" t="s">
        <v>86</v>
      </c>
      <c r="I1" s="23" t="s">
        <v>87</v>
      </c>
      <c r="J1" s="22" t="s">
        <v>68</v>
      </c>
    </row>
    <row r="2" spans="1:10" ht="15.5">
      <c r="A2" t="s">
        <v>14</v>
      </c>
      <c r="B2" s="28" t="s">
        <v>148</v>
      </c>
      <c r="C2" t="s">
        <v>152</v>
      </c>
      <c r="D2" t="s">
        <v>161</v>
      </c>
      <c r="F2" t="s">
        <v>162</v>
      </c>
      <c r="I2" t="s">
        <v>153</v>
      </c>
    </row>
    <row r="3" spans="1:10" ht="15.5">
      <c r="A3" t="s">
        <v>14</v>
      </c>
      <c r="B3" s="28" t="s">
        <v>149</v>
      </c>
      <c r="C3" t="s">
        <v>152</v>
      </c>
      <c r="D3" t="s">
        <v>161</v>
      </c>
      <c r="F3" t="s">
        <v>162</v>
      </c>
      <c r="G3" t="s">
        <v>155</v>
      </c>
      <c r="I3" t="s">
        <v>154</v>
      </c>
    </row>
    <row r="4" spans="1:10" ht="15.5">
      <c r="A4" t="s">
        <v>14</v>
      </c>
      <c r="B4" s="28" t="s">
        <v>150</v>
      </c>
      <c r="C4" t="s">
        <v>152</v>
      </c>
      <c r="D4" t="s">
        <v>161</v>
      </c>
      <c r="F4" t="s">
        <v>162</v>
      </c>
      <c r="G4" t="s">
        <v>155</v>
      </c>
      <c r="I4" t="s">
        <v>156</v>
      </c>
    </row>
    <row r="5" spans="1:10" ht="15.5">
      <c r="B5" t="s">
        <v>144</v>
      </c>
      <c r="C5" t="s">
        <v>152</v>
      </c>
      <c r="D5" t="s">
        <v>157</v>
      </c>
      <c r="F5" t="s">
        <v>159</v>
      </c>
      <c r="I5" t="s">
        <v>153</v>
      </c>
    </row>
    <row r="6" spans="1:10" ht="15.5">
      <c r="B6" t="s">
        <v>145</v>
      </c>
      <c r="C6" t="s">
        <v>152</v>
      </c>
      <c r="D6" t="s">
        <v>157</v>
      </c>
      <c r="F6" t="s">
        <v>159</v>
      </c>
      <c r="G6" t="s">
        <v>155</v>
      </c>
      <c r="I6" t="s">
        <v>154</v>
      </c>
    </row>
    <row r="7" spans="1:10" ht="15.5">
      <c r="B7" t="s">
        <v>146</v>
      </c>
      <c r="C7" t="s">
        <v>152</v>
      </c>
      <c r="D7" t="s">
        <v>160</v>
      </c>
      <c r="F7" t="s">
        <v>158</v>
      </c>
      <c r="I7" t="s">
        <v>153</v>
      </c>
    </row>
    <row r="8" spans="1:10" ht="15.5">
      <c r="B8" t="s">
        <v>147</v>
      </c>
      <c r="C8" t="s">
        <v>152</v>
      </c>
      <c r="D8" t="s">
        <v>160</v>
      </c>
      <c r="F8" t="s">
        <v>158</v>
      </c>
      <c r="G8" t="s">
        <v>151</v>
      </c>
      <c r="I8" t="s">
        <v>154</v>
      </c>
    </row>
  </sheetData>
  <conditionalFormatting sqref="B5:B8">
    <cfRule type="duplicateValues" dxfId="0" priority="1"/>
  </conditionalFormatting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 customWidth="1"/>
  </cols>
  <sheetData>
    <row r="1" spans="1:8" ht="21.75" customHeight="1">
      <c r="A1" s="2" t="s">
        <v>6</v>
      </c>
      <c r="B1" s="16" t="s">
        <v>88</v>
      </c>
      <c r="C1" s="16" t="s">
        <v>89</v>
      </c>
      <c r="D1" s="23" t="s">
        <v>4</v>
      </c>
      <c r="E1" s="23" t="s">
        <v>33</v>
      </c>
      <c r="F1" s="23" t="s">
        <v>90</v>
      </c>
      <c r="G1" s="23" t="s">
        <v>91</v>
      </c>
      <c r="H1" s="23" t="s">
        <v>92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93</v>
      </c>
      <c r="D1" s="24" t="s">
        <v>83</v>
      </c>
      <c r="E1" s="24" t="s">
        <v>83</v>
      </c>
      <c r="F1" s="24" t="s">
        <v>83</v>
      </c>
      <c r="G1" s="24" t="s">
        <v>83</v>
      </c>
      <c r="H1" s="24" t="s">
        <v>83</v>
      </c>
      <c r="I1" s="24" t="s">
        <v>83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93</v>
      </c>
      <c r="D1" s="25" t="s">
        <v>63</v>
      </c>
      <c r="E1" s="25" t="s">
        <v>33</v>
      </c>
      <c r="F1" s="25" t="s">
        <v>62</v>
      </c>
      <c r="G1" s="25" t="s">
        <v>94</v>
      </c>
      <c r="H1" s="25" t="s">
        <v>95</v>
      </c>
      <c r="I1" s="25" t="s">
        <v>96</v>
      </c>
      <c r="J1" s="25" t="s">
        <v>97</v>
      </c>
      <c r="K1" s="25" t="s">
        <v>98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Bhumi Bhuva</cp:lastModifiedBy>
  <cp:revision>12</cp:revision>
  <dcterms:created xsi:type="dcterms:W3CDTF">2017-02-20T03:25:01Z</dcterms:created>
  <dcterms:modified xsi:type="dcterms:W3CDTF">2024-10-07T10:02:56Z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