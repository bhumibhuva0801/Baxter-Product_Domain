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Release 2\Workitems\Sprint-3\Bug Fix\"/>
    </mc:Choice>
  </mc:AlternateContent>
  <xr:revisionPtr revIDLastSave="0" documentId="13_ncr:1_{73DC7B07-60CE-40F7-A0D8-8C3635B1D8B2}" xr6:coauthVersionLast="47" xr6:coauthVersionMax="47" xr10:uidLastSave="{00000000-0000-0000-0000-000000000000}"/>
  <bookViews>
    <workbookView xWindow="-110" yWindow="-110" windowWidth="19420" windowHeight="104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CONDITIONS'!$A$1:$AF$160</definedName>
    <definedName name="Z_BF8E1B46_AD75_6E4F_85B7_6E6C75F2AAA2_.wvu.FilterData" localSheetId="3">'BUSINESS RULES'!$A$1:$L$1</definedName>
    <definedName name="Z_F59B42B5_12A6_408C_8984_297F5E3274B0_.wvu.FilterData" localSheetId="4">'BUSINESS CONDITIONS'!$A$1:$AF$160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<sst xmlns="http://schemas.openxmlformats.org/spreadsheetml/2006/main" count="235" uniqueCount="110">
  <si>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</si>
  <si>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</si>
  <si>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</si>
  <si>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</si>
  <si>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</si>
  <si>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</si>
  <si>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</si>
  <si>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</si>
  <si>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</si>
  <si>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</si>
  <si>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</si>
  <si>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</si>
  <si>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</si>
  <si>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</si>
  <si>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</si>
  <si>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</si>
  <si>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</si>
  <si>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</si>
  <si>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</si>
  <si>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</si>
  <si>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</si>
  <si>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</si>
  <si>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</si>
  <si>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</si>
  <si>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</si>
  <si>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</si>
  <si>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</si>
  <si>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</si>
  <si>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</si>
  <si>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</si>
  <si>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</si>
  <si>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</si>
  <si>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</si>
  <si>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</si>
  <si>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</si>
  <si>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</si>
  <si>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</si>
  <si>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</si>
  <si>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</si>
  <si>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</si>
  <si>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</si>
  <si>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</si>
  <si>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</si>
  <si>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</si>
  <si>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</si>
  <si>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</si>
  <si>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</si>
  <si>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</si>
  <si>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</si>
  <si>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</si>
  <si>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</si>
  <si>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</si>
  <si>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</si>
  <si>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</si>
  <si>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</si>
  <si>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</si>
  <si>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</si>
  <si>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</si>
  <si>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</si>
  <si>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</si>
  <si>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</si>
  <si>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</si>
  <si>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</si>
  <si>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</si>
  <si>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</si>
  <si>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</si>
  <si>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</si>
  <si>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</si>
  <si>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</si>
  <si>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</si>
  <si>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</si>
  <si>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</si>
  <si>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</si>
  <si>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</si>
  <si>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</si>
  <si>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</si>
  <si>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</si>
  <si>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</si>
  <si>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</si>
  <si>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</si>
  <si>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</si>
  <si>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</si>
  <si>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</si>
  <si>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</si>
  <si>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</si>
  <si>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</si>
  <si>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</si>
  <si>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</si>
  <si>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</si>
  <si>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</si>
  <si>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setdummyattributetorecalculateuomscconchangeofgtinindic</t>
  </si>
  <si>
    <t>varGetSKU:="";varGetSKUTP:="";varGetCC:="";varGetRW:="";varGetSP:="";varGetHRC:="";varAttributeChanged:="";IIF[HaveAnyAttributesChanged["_DEFAULT","_DEFAULT","indicator"]=true,SetVariable["varAttributeChanged","true"],false] AND IIF[varAttributeChanged="true" AND GetEntityType[]="each",SetVariable["varGetSKUTP",GetWhereUsedEntityIds["self:self","reachofsku","skutp"]] AND SetVariable["varGetSKU",GetWhereUsedEntityIds["self:self","reachofsku","sku"]] AND SetVariable["varGetCC",GetWhereUsedEntityIds["self:self","reachofcompoundingcode","compoundingcode"]] AND SetVariable["varGetRW",GetWhereUsedEntityIds["self:self","reachofrawmaterial","rawmaterial"]] AND SetVariable["varGetSP",GetWhereUsedEntityIds["self:self","reachofsparepart","sparepart"]] AND SetVariable["varGetHRC",GetWhereUsedEntityIds["self:self","reachofhrc","hrc"]],false] AND IIF[varAttributeChanged="true" AND GetEntityType[]="pack",SetVariable["varGetSKUTP",GetWhereUsedEntityIds["self:self","rpackofsku","skutp"]] AND SetVariable["varGetSKU",GetWhereUsedEntityIds["self:self","rpackofsku","sku"]] AND SetVariable["varGetCC",GetWhereUsedEntityIds["self:self","rpackofcompoundingcode","compoundingcode"]] AND SetVariable["varGetRW",GetWhereUsedEntityIds["self:self","rpackofrawmaterial","rawmaterial"]] AND SetVariable["varGetSP",GetWhereUsedEntityIds["self:self","rpackofsparepart","sparepart"]] AND SetVariable["varGetHRC",GetWhereUsedEntityIds["self:self","reachofhrc","hrc"]],false] AND IIF[varAttributeChanged="true" AND GetEntityType[]="case",SetVariable["varGetSKUTP",GetWhereUsedEntityIds["self:self","rcaseofsku","skutp"]] AND SetVariable["varGetSKU",GetWhereUsedEntityIds["self:self","rcaseofsku","sku"]] AND SetVariable["varGetCC",GetWhereUsedEntityIds["self:self","rcaseofcompoundingcode","compoundingcode"]] AND SetVariable["varGetRW",GetWhereUsedEntityIds["self:self","rcaseofrawmaterial","rawmaterial"]] AND SetVariable["varGetSP",GetWhereUsedEntityIds["self:self","rcaseofsparepart","sparepart"]] AND SetVariable["varGetHRC",GetWhereUsedEntityIds["self:self","reachofhrc","hrc"]],false] AND IIF[IsNullOrEmpty[varGetSKU]=false,SetEntityAttributeValue["_DEFAULT","_DEFAULT",varGetSKU,"sku","dummyTriggeruomsccBR",Now[]],false] AND IIF[IsNullOrEmpty[varGetSKUTP]=false,SetEntityAttributeValue["_DEFAULT","_DEFAULT",varGetSKUTP,"skutp","dummyTriggeruomsccBR",Now[]],false] AND IIF[IsNullOrEmpty[varGetCC]=false,SetEntityAttributeValue["_DEFAULT","_DEFAULT",varGetCC,"compoundingcode","dummyTriggeruomsccBR",Now[]] AND SetEntityAttributeValue["_DEFAULT","_DEFAULT",varGetCC,"compoundingcode","dummyccpkggtin",Now[]],false] AND IIF[IsNullOrEmpty[varGetRW]=false,SetEntityAttributeValue["_DEFAULT","_DEFAULT",varGetRW,"rawmaterial","dummyTriggeruomsccBR",Now[]],false] AND IIF[IsNullOrEmpty[varGetSP]=false,SetEntityAttributeValue["_DEFAULT","_DEFAULT",varGetSP,"sparepart","dummyTriggeruomsccBR",Now[]],false] AND IIF[IsNullOrEmpty[varGetHRC]=false,SetEntityAttributeValue["_DEFAULT","_DEFAULT",varGetHRC,"hrc","dummyTriggeruomsccBR",Now[]],false]</t>
  </si>
  <si>
    <t>BR 259 : Set dummy attribute to re-calculate the uomscc on change of gtin indicator</t>
  </si>
  <si>
    <t>br74</t>
  </si>
  <si>
    <t>vareachidssku:=GetRelatedEntityId["reachofsku","each"];vareachidshrc:=GetRelatedEntityId["reachofhrc","each"];vargetsku:=GetEntityAttributeValueById["_DEFAULT","_DEFAULT",vareachidssku,"each","pkggtin"];vargethrc:=GetEntityAttributeValueById["_DEFAULT","_DEFAULT",vareachidshrc,"each","pkggtin"];vareudamedflag:=GetAttributeValue["_DEFAULT","_DEFAULT","eudamedflag"];varxudiflag:=GetAttributeValue["_DEFAULT","_DEFAULT","xudiflg"];varcontinue:="false";IIF[HaveAnyAttributesChanged["_DEFAULT","_DEFAULT","xudiflg","eudamedflag"],SetVariable["varcontinue",true],false] AND IIF[varcontinue=true AND GetEntityType[]="sku" AND (varxudiflag = 3 OR vareudamedflag = 3) AND IsNullOrEmpty[vareachidssku]=false AND HaveRelationships["reachofsku"]=true AND RelationshipsCountInContext["reachofsku","self:self"]&lt;2,SetAttributeValue["_DEFAULT","_DEFAULT","primdinr",vargetsku],false] AND IIF[varcontinue=true AND GetEntityType[]="skutp" AND (varxudiflag = 3 OR vareudamedflag = 3) AND IsNullOrEmpty[vareachidssku]=false AND HaveRelationships["reachofsku"]=true AND RelationshipsCountInContext["reachofsku","self:self"]&lt;2,SetAttributeValue["_DEFAULT","_DEFAULT","primdinr",vargetsku],false]</t>
  </si>
  <si>
    <t>BR74: Primary DI Number : Primary DI Number = GTIN for Primary Unit of Measure</t>
  </si>
  <si>
    <t>sethzdflagbasedonitmtyp</t>
  </si>
  <si>
    <t>varvalueittyp:=GetAttributeValue["_DEFAULT","_DEFAULT","itmtyp"];varid:=GetAttributeValueReferenceId["_DEFAULT","_DEFAULT","itmtyp"];varvalue:=IIF[HaveAnyAttributesChanged["_DEFAULT","_DEFAULT","itmtyp"] AND IsNullOrEmpty[varid]=false,GetEntityAttributeValueById["_DEFAULT","_DEFAULT",varid,"udc41s1","refcode"],false];IIF[HaveAnyAttributesChanged["_DEFAULT","_DEFAULT","itmtyp"] AND varvalue="FG" ,SetAttributeValue["_DEFAULT","_DEFAULT","hzdflg","TBC"],false] AND IIF[HaveAnyAttributesChanged["_DEFAULT","_DEFAULT","itmtyp"] AND varvalue&lt;&gt;"FG" ,DeleteAttribute["_DEFAULT","_DEFAULT","hzdflg"],false]</t>
  </si>
  <si>
    <t>BR 142:Set Hazardous Flag Based On Item Type(FG OR SP)</t>
  </si>
  <si>
    <t>AutopopulateDemandPlanningFlag</t>
  </si>
  <si>
    <t>varitmtyp:=GetAttributeValueReferenceId["_DEFAULT","_DEFAULT","itmtyp"];varitmtypcode:=GetEntityAttributeValueById["_DEFAULT","_DEFAULT",varitmtyp,"udc41s1","refcode"];IIF[HaveAttributesChanged["_DEFAULT","_DEFAULT","itmtyp"] AND IsNullOrEmpty[varitmtypcode]=false AND Contains["FG",varitmtypcode],DeleteAttribute["_DEFAULT","_DEFAULT","dmdplanflg"],false] AND IIF[HaveAttributesChanged["_DEFAULT","_DEFAULT","itmtyp"] AND IsNullOrEmpty[varitmtypcode]=false AND Contains["FG",varitmtypcode]=false,SetAttributeValue["_DEFAULT","_DEFAULT","dmdplanflg","Y"],false]</t>
  </si>
  <si>
    <t>BR35: Demand Planning Flag : default value for objects with product type "FG" or "FGH" to "Y" else leave blank and set to read only</t>
  </si>
  <si>
    <t>create||update</t>
  </si>
  <si>
    <t>each</t>
  </si>
  <si>
    <t>case</t>
  </si>
  <si>
    <t>hrc</t>
  </si>
  <si>
    <t>pack</t>
  </si>
  <si>
    <t>AutopopulateHardwareTrackingFlag</t>
  </si>
  <si>
    <t>varcatType:=GetAttributeValue["_DEFAULT","_DEFAULT","drugmdothflg"];IIF[IsNullOrEmpty[varcatType]=false,SetVariable["varcatid",GetEntityId["ANDACROSS","rdrugmdothflg","self:self",CONCAT["refvalue:_DEFAULT:_DEFAULT:exact:",varcatType]]],false] AND IIF[IsNullOrEmpty[varcatid]=false,SetVariable["varcatcode",GetEntityAttributeValueById["_DEFAULT","_DEFAULT",varcatid,"rdrugmdothflg","refcode"]],false] AND IIF[IsNullOrEmpty[varcatcode]=false AND (varcatcode="AD" OR varcatcode="LI"),SetAttributeValue["_DEFAULT","_DEFAULT","hwtrkflg","HS"],DeleteAttribute["_DEFAULT","_DEFAULT","hwtrkflg"]]</t>
  </si>
  <si>
    <t>BR31: Hardware Tracking Flag : If Product Categorisation is AD (Active Device (instrument/Hardware)) or LI (Laboratory Instrument (Compounder)) then populate with HS, else leave blank and set to read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</si>
</sst>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6"/>
  <sheetViews>
    <sheetView tabSelected="1" topLeftCell="I1" zoomScaleNormal="100" workbookViewId="0">
      <pane ySplit="1" topLeftCell="A2" activePane="bottomLeft" state="frozen"/>
      <selection activeCell="I1" sqref="I1"/>
      <selection pane="bottomLeft" activeCell="L12" sqref="L1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96</v>
      </c>
      <c r="C2" t="s">
        <v>80</v>
      </c>
      <c r="D2" t="s">
        <v>73</v>
      </c>
      <c r="E2" t="s">
        <v>6</v>
      </c>
      <c r="F2" t="s">
        <v>7</v>
      </c>
      <c r="G2" t="s">
        <v>97</v>
      </c>
      <c r="H2" t="s">
        <v>98</v>
      </c>
      <c r="K2" t="s">
        <v>8</v>
      </c>
      <c r="N2" t="s">
        <v>98</v>
      </c>
    </row>
    <row r="3" spans="1:14" ht="15.5">
      <c r="B3" t="s">
        <v>90</v>
      </c>
      <c r="C3" t="s">
        <v>83</v>
      </c>
      <c r="D3" t="s">
        <v>73</v>
      </c>
      <c r="E3" t="s">
        <v>6</v>
      </c>
      <c r="F3" t="s">
        <v>7</v>
      </c>
      <c r="G3" t="s">
        <v>91</v>
      </c>
      <c r="H3" t="s">
        <v>92</v>
      </c>
      <c r="K3" t="s">
        <v>8</v>
      </c>
      <c r="N3" t="s">
        <v>92</v>
      </c>
    </row>
    <row r="4" spans="1:14" ht="15.5">
      <c r="B4" t="s">
        <v>99</v>
      </c>
      <c r="C4" t="s">
        <v>80</v>
      </c>
      <c r="D4" t="s">
        <v>73</v>
      </c>
      <c r="E4" t="s">
        <v>6</v>
      </c>
      <c r="F4" t="s">
        <v>7</v>
      </c>
      <c r="G4" t="s">
        <v>100</v>
      </c>
      <c r="H4" t="s">
        <v>101</v>
      </c>
      <c r="K4" t="s">
        <v>8</v>
      </c>
      <c r="N4" t="s">
        <v>101</v>
      </c>
    </row>
    <row r="5" spans="1:14" ht="15.5">
      <c r="B5" t="s">
        <v>93</v>
      </c>
      <c r="C5" t="s">
        <v>80</v>
      </c>
      <c r="D5" t="s">
        <v>73</v>
      </c>
      <c r="E5" t="s">
        <v>6</v>
      </c>
      <c r="F5" t="s">
        <v>7</v>
      </c>
      <c r="G5" t="s">
        <v>94</v>
      </c>
      <c r="H5" t="s">
        <v>95</v>
      </c>
      <c r="K5" t="s">
        <v>8</v>
      </c>
      <c r="N5" t="s">
        <v>95</v>
      </c>
    </row>
    <row r="6" spans="1:14" ht="15.5">
      <c r="B6" t="s">
        <v>107</v>
      </c>
      <c r="C6" t="s">
        <v>80</v>
      </c>
      <c r="D6" t="s">
        <v>73</v>
      </c>
      <c r="E6" t="s">
        <v>6</v>
      </c>
      <c r="F6" t="s">
        <v>7</v>
      </c>
      <c r="G6" t="s">
        <v>108</v>
      </c>
      <c r="H6" t="s">
        <v>109</v>
      </c>
      <c r="K6" t="s">
        <v>8</v>
      </c>
      <c r="N6" t="s">
        <v>109</v>
      </c>
    </row>
  </sheetData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F2:F5 F7:F1048576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C2:C5 C7:C1048576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D2:D5 D7:D1048576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A2:A5 A7:A1048576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B185" sqref="B185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8"/>
  <sheetViews>
    <sheetView zoomScaleNormal="100" workbookViewId="0">
      <pane ySplit="1" topLeftCell="A2" activePane="bottomLeft" state="frozen"/>
      <selection pane="bottomLeft" activeCell="B8" sqref="A8:XFD8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105</v>
      </c>
      <c r="C2" t="s">
        <v>73</v>
      </c>
      <c r="D2" t="s">
        <v>6</v>
      </c>
      <c r="E2" t="s">
        <v>7</v>
      </c>
      <c r="F2" t="s">
        <v>93</v>
      </c>
      <c r="H2" t="s">
        <v>102</v>
      </c>
      <c r="J2">
        <v>60</v>
      </c>
      <c r="K2" t="s">
        <v>6</v>
      </c>
    </row>
    <row r="3" spans="1:12" ht="15.5">
      <c r="B3" t="s">
        <v>105</v>
      </c>
      <c r="C3" t="s">
        <v>73</v>
      </c>
      <c r="D3" t="s">
        <v>6</v>
      </c>
      <c r="E3" t="s">
        <v>7</v>
      </c>
      <c r="F3" t="s">
        <v>96</v>
      </c>
      <c r="H3" t="s">
        <v>102</v>
      </c>
      <c r="J3">
        <v>30</v>
      </c>
      <c r="K3" t="s">
        <v>6</v>
      </c>
    </row>
    <row r="4" spans="1:12" ht="15.5">
      <c r="B4" t="s">
        <v>103</v>
      </c>
      <c r="C4" t="s">
        <v>73</v>
      </c>
      <c r="D4" t="s">
        <v>6</v>
      </c>
      <c r="E4" t="s">
        <v>7</v>
      </c>
      <c r="F4" t="s">
        <v>90</v>
      </c>
      <c r="H4" t="s">
        <v>102</v>
      </c>
      <c r="J4">
        <v>30</v>
      </c>
      <c r="K4" t="s">
        <v>6</v>
      </c>
    </row>
    <row r="5" spans="1:12" ht="15.5">
      <c r="B5" t="s">
        <v>104</v>
      </c>
      <c r="C5" t="s">
        <v>73</v>
      </c>
      <c r="D5" t="s">
        <v>6</v>
      </c>
      <c r="E5" t="s">
        <v>7</v>
      </c>
      <c r="F5" t="s">
        <v>90</v>
      </c>
      <c r="H5" t="s">
        <v>102</v>
      </c>
      <c r="J5">
        <v>30</v>
      </c>
      <c r="K5" t="s">
        <v>6</v>
      </c>
    </row>
    <row r="6" spans="1:12" ht="15.5">
      <c r="B6" t="s">
        <v>106</v>
      </c>
      <c r="C6" t="s">
        <v>73</v>
      </c>
      <c r="D6" t="s">
        <v>6</v>
      </c>
      <c r="E6" t="s">
        <v>7</v>
      </c>
      <c r="F6" t="s">
        <v>90</v>
      </c>
      <c r="H6" t="s">
        <v>102</v>
      </c>
      <c r="J6">
        <v>30</v>
      </c>
      <c r="K6" t="s">
        <v>6</v>
      </c>
    </row>
    <row r="7" spans="1:12" ht="15.5">
      <c r="B7" t="s">
        <v>105</v>
      </c>
      <c r="C7" t="s">
        <v>73</v>
      </c>
      <c r="D7" t="s">
        <v>6</v>
      </c>
      <c r="E7" t="s">
        <v>7</v>
      </c>
      <c r="F7" t="s">
        <v>99</v>
      </c>
      <c r="H7" t="s">
        <v>102</v>
      </c>
      <c r="J7">
        <v>1</v>
      </c>
      <c r="K7" t="s">
        <v>6</v>
      </c>
    </row>
    <row r="8" spans="1:12" ht="15.5">
      <c r="B8" t="s">
        <v>105</v>
      </c>
      <c r="C8" t="s">
        <v>73</v>
      </c>
      <c r="D8" t="s">
        <v>6</v>
      </c>
      <c r="E8" t="s">
        <v>7</v>
      </c>
      <c r="F8" t="s">
        <v>107</v>
      </c>
      <c r="H8" t="s">
        <v>102</v>
      </c>
      <c r="J8">
        <v>1</v>
      </c>
      <c r="K8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C2:C7 C9:C1048576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E2:E7 E9:E1048576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H2:H7 H9:H1048576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A2:A7 A9:A1048576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B8" sqref="B8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2022-11-28T08:34:19Z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